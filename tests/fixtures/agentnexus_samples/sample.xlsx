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386a7d1f7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Log" sheetId="1" r:id="R61b486f01ed04540"/>
    <x:sheet xmlns:r="http://schemas.openxmlformats.org/officeDocument/2006/relationships" name="Summary" sheetId="2" r:id="R553d3e2f4813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6"/>
      <x:color rgb="FFFFFFFF"/>
      <x:name val="Carlito"/>
    </x:font>
    <x:font>
      <x:sz val="10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6fdcfcd0644ab" /><Relationship Type="http://schemas.openxmlformats.org/officeDocument/2006/relationships/theme" Target="/xl/theme/theme1.xml" Id="R7ded4f91511645ab" /><Relationship Type="http://schemas.openxmlformats.org/officeDocument/2006/relationships/sharedStrings" Target="/xl/sharedStrings.xml" Id="Rcedd2140cd2f4169" /><Relationship Type="http://schemas.openxmlformats.org/officeDocument/2006/relationships/worksheet" Target="/xl/worksheets/sheet1.xml" Id="R61b486f01ed04540" /><Relationship Type="http://schemas.openxmlformats.org/officeDocument/2006/relationships/worksheet" Target="/xl/worksheets/sheet2.xml" Id="R553d3e2f481347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4" customHeight="1">
      <x:c r="A1" s="6" t="str">
        <x:v>Task ID</x:v>
      </x:c>
      <x:c r="B1" s="6" t="str">
        <x:v>Module</x:v>
      </x:c>
      <x:c r="C1" s="6" t="str">
        <x:v>Status</x:v>
      </x:c>
      <x:c r="D1" s="6" t="str">
        <x:v>Owner</x:v>
      </x:c>
      <x:c r="E1" s="6" t="str">
        <x:v>Elapsed (s)</x:v>
      </x:c>
      <x:c r="F1" s="6" t="str">
        <x:v>Defects</x:v>
      </x:c>
    </x:row>
    <x:row r="2" ht="24" customHeight="1">
      <x:c r="A2" s="10" t="str">
        <x:v>N-01</x:v>
      </x:c>
      <x:c r="B2" s="10" t="str">
        <x:v>weather-context</x:v>
      </x:c>
      <x:c r="C2" s="10" t="str">
        <x:v>passed</x:v>
      </x:c>
      <x:c r="D2" s="10" t="str">
        <x:v>Tester A</x:v>
      </x:c>
      <x:c r="E2" s="11" t="n">
        <x:v>18</x:v>
      </x:c>
      <x:c r="F2" s="11" t="n">
        <x:v>0</x:v>
      </x:c>
    </x:row>
    <x:row r="3" ht="24" customHeight="1">
      <x:c r="A3" s="10" t="str">
        <x:v>N-02</x:v>
      </x:c>
      <x:c r="B3" s="10" t="str">
        <x:v>artifact-delivery</x:v>
      </x:c>
      <x:c r="C3" s="10" t="str">
        <x:v>partial</x:v>
      </x:c>
      <x:c r="D3" s="10" t="str">
        <x:v>Tester A</x:v>
      </x:c>
      <x:c r="E3" s="11" t="n">
        <x:v>42</x:v>
      </x:c>
      <x:c r="F3" s="11" t="n">
        <x:v>1</x:v>
      </x:c>
    </x:row>
    <x:row r="4" ht="24" customHeight="1">
      <x:c r="A4" s="10" t="str">
        <x:v>N-04</x:v>
      </x:c>
      <x:c r="B4" s="10" t="str">
        <x:v>markdown-context</x:v>
      </x:c>
      <x:c r="C4" s="10" t="str">
        <x:v>passed</x:v>
      </x:c>
      <x:c r="D4" s="10" t="str">
        <x:v>Tester B</x:v>
      </x:c>
      <x:c r="E4" s="11" t="n">
        <x:v>26</x:v>
      </x:c>
      <x:c r="F4" s="11" t="n">
        <x:v>0</x:v>
      </x:c>
    </x:row>
    <x:row r="5" ht="24" customHeight="1">
      <x:c r="A5" s="10" t="str">
        <x:v>N-06</x:v>
      </x:c>
      <x:c r="B5" s="10" t="str">
        <x:v>mcp-parameter-guard</x:v>
      </x:c>
      <x:c r="C5" s="10" t="str">
        <x:v>not_started</x:v>
      </x:c>
      <x:c r="D5" s="10" t="str">
        <x:v>Tester B</x:v>
      </x:c>
      <x:c r="E5" s="11" t="n">
        <x:v>0</x:v>
      </x:c>
      <x:c r="F5" s="11" t="n">
        <x:v>0</x:v>
      </x:c>
    </x:row>
    <x:row r="6" ht="24" customHeight="1">
      <x:c r="A6" s="10" t="str">
        <x:v>E-01</x:v>
      </x:c>
      <x:c r="B6" s="10" t="str">
        <x:v>expert-team-review</x:v>
      </x:c>
      <x:c r="C6" s="10" t="str">
        <x:v>not_started</x:v>
      </x:c>
      <x:c r="D6" s="10" t="str">
        <x:v>Tester C</x:v>
      </x:c>
      <x:c r="E6" s="11" t="n">
        <x:v>0</x:v>
      </x:c>
      <x:c r="F6" s="11" t="n">
        <x:v>0</x:v>
      </x:c>
    </x:row>
    <x:row r="7" ht="24" customHeight="1">
      <x:c r="A7" s="10" t="str">
        <x:v>KB-01</x:v>
      </x:c>
      <x:c r="B7" s="10" t="str">
        <x:v>knowledge-base</x:v>
      </x:c>
      <x:c r="C7" s="10" t="str">
        <x:v>passed</x:v>
      </x:c>
      <x:c r="D7" s="10" t="str">
        <x:v>Tester C</x:v>
      </x:c>
      <x:c r="E7" s="11" t="n">
        <x:v>31</x:v>
      </x:c>
      <x:c r="F7" s="1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8" hidden="0" customWidth="1"/>
  </x:cols>
  <x:sheetData>
    <x:row r="1" ht="32" customHeight="1">
      <x:c r="A1" s="15" t="str">
        <x:v>AgentNexus 测试汇总</x:v>
      </x:c>
      <x:c r="B1" s="15"/>
      <x:c r="C1" s="15"/>
      <x:c r="D1" s="15"/>
    </x:row>
    <x:row r="2" ht="24" customHeight="1">
      <x:c r="A2" s="6" t="str">
        <x:v>Metric</x:v>
      </x:c>
      <x:c r="B2" s="6" t="str">
        <x:v>Value</x:v>
      </x:c>
    </x:row>
    <x:row r="3" ht="24" customHeight="1">
      <x:c r="A3" s="10" t="str">
        <x:v>Total tasks</x:v>
      </x:c>
      <x:c r="B3" s="10" t="n">
        <x:f>COUNTA('Task Log'!A2:A7)</x:f>
        <x:v>6</x:v>
      </x:c>
    </x:row>
    <x:row r="4" ht="24" customHeight="1">
      <x:c r="A4" s="10" t="str">
        <x:v>Passed</x:v>
      </x:c>
      <x:c r="B4" s="10" t="n">
        <x:f>COUNTIF('Task Log'!C2:C7,"passed")</x:f>
        <x:v>3</x:v>
      </x:c>
    </x:row>
    <x:row r="5" ht="24" customHeight="1">
      <x:c r="A5" s="10" t="str">
        <x:v>Partial</x:v>
      </x:c>
      <x:c r="B5" s="10" t="n">
        <x:f>COUNTIF('Task Log'!C2:C7,"partial")</x:f>
        <x:v>1</x:v>
      </x:c>
    </x:row>
    <x:row r="6" ht="24" customHeight="1">
      <x:c r="A6" s="10" t="str">
        <x:v>Total defects</x:v>
      </x:c>
      <x:c r="B6" s="10" t="n">
        <x:f>SUM('Task Log'!F2:F7)</x:f>
        <x:v>1</x:v>
      </x:c>
    </x:row>
    <x:row r="8" ht="40" customHeight="1">
      <x:c r="A8" s="19" t="str">
        <x:v>验收提示：失败或部分通过的任务必须在对话区显示原因，并且未通过最终验收的产物不得发布。</x:v>
      </x:c>
      <x:c r="B8" s="19"/>
      <x:c r="C8" s="19"/>
      <x:c r="D8" s="19"/>
    </x:row>
  </x:sheetData>
  <x:mergeCells>
    <x:mergeCell ref="A1:D1"/>
    <x:mergeCell ref="A8:D8"/>
  </x:mergeCells>
  <x:pageMargins left="0.7" right="0.7" top="0.75" bottom="0.75" header="0.3" footer="0.3"/>
</x:worksheet>
</file>